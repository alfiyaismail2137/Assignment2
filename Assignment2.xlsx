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ntri App Study Meterials\module1\Excel\"/>
    </mc:Choice>
  </mc:AlternateContent>
  <xr:revisionPtr revIDLastSave="0" documentId="13_ncr:1_{6710E4E6-2A1A-4DC2-9090-6E961C2E2789}" xr6:coauthVersionLast="47" xr6:coauthVersionMax="47" xr10:uidLastSave="{00000000-0000-0000-0000-000000000000}"/>
  <bookViews>
    <workbookView xWindow="-108" yWindow="-108" windowWidth="23256" windowHeight="12576" xr2:uid="{22E060CB-FB11-47B5-A9E0-17FDEB964E47}"/>
  </bookViews>
  <sheets>
    <sheet name="Dataset" sheetId="2" r:id="rId1"/>
    <sheet name="Sheet1" sheetId="1" r:id="rId2"/>
  </sheets>
  <definedNames>
    <definedName name="ExternalData_1" localSheetId="0" hidden="1">Dataset!$A$1:$T$32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" i="2" l="1"/>
  <c r="D3" i="2"/>
  <c r="C3" i="2"/>
  <c r="B2" i="2"/>
  <c r="D2" i="2" s="1"/>
  <c r="B3" i="2"/>
  <c r="B4" i="2"/>
  <c r="D4" i="2" s="1"/>
  <c r="B5" i="2"/>
  <c r="D5" i="2" s="1"/>
  <c r="B6" i="2"/>
  <c r="D6" i="2" s="1"/>
  <c r="B7" i="2"/>
  <c r="B8" i="2"/>
  <c r="C8" i="2" s="1"/>
  <c r="B9" i="2"/>
  <c r="C9" i="2" s="1"/>
  <c r="B10" i="2"/>
  <c r="D10" i="2" s="1"/>
  <c r="B11" i="2"/>
  <c r="C11" i="2" s="1"/>
  <c r="B12" i="2"/>
  <c r="D12" i="2" s="1"/>
  <c r="B13" i="2"/>
  <c r="D13" i="2" s="1"/>
  <c r="B14" i="2"/>
  <c r="D14" i="2" s="1"/>
  <c r="B15" i="2"/>
  <c r="B16" i="2"/>
  <c r="B17" i="2"/>
  <c r="B18" i="2"/>
  <c r="D18" i="2" s="1"/>
  <c r="B19" i="2"/>
  <c r="C19" i="2" s="1"/>
  <c r="B20" i="2"/>
  <c r="D20" i="2" s="1"/>
  <c r="B21" i="2"/>
  <c r="D21" i="2" s="1"/>
  <c r="B22" i="2"/>
  <c r="D22" i="2" s="1"/>
  <c r="B23" i="2"/>
  <c r="B24" i="2"/>
  <c r="D24" i="2" s="1"/>
  <c r="B25" i="2"/>
  <c r="D25" i="2" s="1"/>
  <c r="B26" i="2"/>
  <c r="D26" i="2" s="1"/>
  <c r="B27" i="2"/>
  <c r="C27" i="2" s="1"/>
  <c r="B28" i="2"/>
  <c r="D28" i="2" s="1"/>
  <c r="B29" i="2"/>
  <c r="D29" i="2" s="1"/>
  <c r="B30" i="2"/>
  <c r="D30" i="2" s="1"/>
  <c r="B31" i="2"/>
  <c r="B32" i="2"/>
  <c r="C32" i="2" s="1"/>
  <c r="C7" i="2"/>
  <c r="C15" i="2"/>
  <c r="C16" i="2"/>
  <c r="C17" i="2"/>
  <c r="C23" i="2"/>
  <c r="C24" i="2"/>
  <c r="C25" i="2"/>
  <c r="C31" i="2"/>
  <c r="D7" i="2"/>
  <c r="D8" i="2"/>
  <c r="D9" i="2"/>
  <c r="D15" i="2"/>
  <c r="D16" i="2"/>
  <c r="D17" i="2"/>
  <c r="D23" i="2"/>
  <c r="D31" i="2"/>
  <c r="D32" i="2"/>
  <c r="G2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C30" i="2" l="1"/>
  <c r="C22" i="2"/>
  <c r="C14" i="2"/>
  <c r="C6" i="2"/>
  <c r="C21" i="2"/>
  <c r="C13" i="2"/>
  <c r="C5" i="2"/>
  <c r="C20" i="2"/>
  <c r="C12" i="2"/>
  <c r="C4" i="2"/>
  <c r="D27" i="2"/>
  <c r="D19" i="2"/>
  <c r="D11" i="2"/>
  <c r="C26" i="2"/>
  <c r="C18" i="2"/>
  <c r="C10" i="2"/>
  <c r="C2" i="2"/>
  <c r="C29" i="2"/>
  <c r="C28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53FE888-0656-4091-8118-60E4C48F77AB}" keepAlive="1" name="Query - Dataset" description="Connection to the 'Dataset' query in the workbook." type="5" refreshedVersion="8" background="1" saveData="1">
    <dbPr connection="Provider=Microsoft.Mashup.OleDb.1;Data Source=$Workbook$;Location=Dataset;Extended Properties=&quot;&quot;" command="SELECT * FROM [Dataset]"/>
  </connection>
</connections>
</file>

<file path=xl/sharedStrings.xml><?xml version="1.0" encoding="utf-8"?>
<sst xmlns="http://schemas.openxmlformats.org/spreadsheetml/2006/main" count="144" uniqueCount="100">
  <si>
    <t>Product ID</t>
  </si>
  <si>
    <t>Product Name</t>
  </si>
  <si>
    <t>Brand Name</t>
  </si>
  <si>
    <t>Price ($)</t>
  </si>
  <si>
    <t>Quantity</t>
  </si>
  <si>
    <t>Category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</si>
  <si>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</si>
  <si>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</si>
  <si>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</si>
  <si>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</si>
  <si>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</si>
  <si>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</si>
  <si>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</si>
  <si>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</si>
  <si>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</si>
  <si>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</si>
  <si>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28-JAN-US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</si>
  <si>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</si>
  <si>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</si>
  <si>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</si>
  <si>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</si>
  <si>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</si>
  <si>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</si>
  <si>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</si>
  <si>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</si>
  <si>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</si>
  <si>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</si>
  <si>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</si>
  <si>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Samsung</t>
  </si>
  <si>
    <t>22-MAY-US</t>
  </si>
  <si>
    <t>Backpack</t>
  </si>
  <si>
    <t>North Face</t>
  </si>
  <si>
    <t>19-JUL-UK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</si>
  <si>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</si>
  <si>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</si>
  <si>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</si>
  <si>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</si>
  <si>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</si>
  <si>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</si>
  <si>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</si>
  <si>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</si>
  <si>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</si>
  <si>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</si>
  <si>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Outdoor</t>
  </si>
  <si>
    <t>17-JUN-IN</t>
  </si>
  <si>
    <t>Laptop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</si>
  <si>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</si>
  <si>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</si>
  <si>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</si>
  <si>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</si>
  <si>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</si>
  <si>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</si>
  <si>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</si>
  <si>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</si>
  <si>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</si>
  <si>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</si>
  <si>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</si>
  <si>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</si>
  <si>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</si>
  <si>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</si>
  <si>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</si>
  <si>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</si>
  <si>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</si>
  <si>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</si>
  <si>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</si>
  <si>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</si>
  <si>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</si>
  <si>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</si>
  <si>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</si>
  <si>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</si>
  <si>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</si>
  <si>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</si>
  <si>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</si>
  <si>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</si>
  <si>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</si>
  <si>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</si>
  <si>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Smartphone</t>
  </si>
  <si>
    <t>Google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</si>
  <si>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</si>
  <si>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</si>
  <si>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</si>
  <si>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</si>
  <si>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</si>
  <si>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</si>
  <si>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</si>
  <si>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</si>
  <si>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</si>
  <si>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</si>
  <si>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</si>
  <si>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</si>
  <si>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</si>
  <si>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</si>
  <si>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</si>
  <si>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</si>
  <si>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T-Shirt</t>
  </si>
  <si>
    <t>Headphones</t>
  </si>
  <si>
    <t>Manufactoring Date</t>
  </si>
  <si>
    <t>Country Code</t>
  </si>
  <si>
    <t>Product_Updated</t>
  </si>
  <si>
    <t>Product Brand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</si>
</sst>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10">
    <dxf>
      <fill>
        <patternFill>
          <bgColor rgb="FFFFFF00"/>
        </patternFill>
      </fill>
    </dxf>
    <dxf>
      <numFmt numFmtId="0" formatCode="General"/>
    </dxf>
    <dxf>
      <numFmt numFmtId="164" formatCode="&quot;₹&quot;\ #,##0.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51FDA5BB-2B03-4B58-80DE-1CB974E26141}" autoFormatId="16" applyNumberFormats="0" applyBorderFormats="0" applyFontFormats="0" applyPatternFormats="0" applyAlignmentFormats="0" applyWidthHeightFormats="0">
  <queryTableRefresh nextId="21">
    <queryTableFields count="20">
      <queryTableField id="1" name="Product ID" tableColumnId="1"/>
      <queryTableField id="19" dataBound="0" tableColumnId="19"/>
      <queryTableField id="17" dataBound="0" tableColumnId="17"/>
      <queryTableField id="18" dataBound="0" tableColumnId="18"/>
      <queryTableField id="2" name="Product Name" tableColumnId="2"/>
      <queryTableField id="3" name="Brand Name" tableColumnId="3"/>
      <queryTableField id="20" dataBound="0" tableColumnId="20"/>
      <queryTableField id="4" name="Price ($)" tableColumnId="4"/>
      <queryTableField id="5" name="Quantity" tableColumnId="5"/>
      <queryTableField id="6" name="Category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E8722C8-729E-4AED-84CF-7E2AE6427CE1}" name="Dataset" displayName="Dataset" ref="A1:T32" tableType="queryTable" totalsRowShown="0">
  <autoFilter ref="A1:T32" xr:uid="{6E8722C8-729E-4AED-84CF-7E2AE6427CE1}"/>
  <tableColumns count="20">
    <tableColumn id="1" xr3:uid="{9F1A1383-3F78-4E74-86C4-991199F8FFC3}" uniqueName="1" name="Product ID" queryTableFieldId="1" dataDxfId="9"/>
    <tableColumn id="19" xr3:uid="{7DA00BE9-C2B3-4127-8EC4-1085424A9BF6}" uniqueName="19" name="Product_Updated" queryTableFieldId="19" dataDxfId="8">
      <calculatedColumnFormula>LEFT(Dataset[[#This Row],[Product ID]],6)&amp;"-2026"&amp; "-" &amp;RIGHT(Dataset[[#This Row],[Product ID]],2)</calculatedColumnFormula>
    </tableColumn>
    <tableColumn id="17" xr3:uid="{CBE46DDC-2320-4B55-BA03-3040D01D6D25}" uniqueName="17" name="Manufactoring Date" queryTableFieldId="17" dataDxfId="7">
      <calculatedColumnFormula>LEFT(Dataset[[#This Row],[Product_Updated]],11)</calculatedColumnFormula>
    </tableColumn>
    <tableColumn id="18" xr3:uid="{042E3066-0754-499A-B4C3-5E6E33D8CCDA}" uniqueName="18" name="Country Code" queryTableFieldId="18" dataDxfId="6">
      <calculatedColumnFormula>RIGHT(Dataset[[#This Row],[Product_Updated]],2)</calculatedColumnFormula>
    </tableColumn>
    <tableColumn id="2" xr3:uid="{D9FF0365-D487-4DE4-8CC0-2832823D5276}" uniqueName="2" name="Product Name" queryTableFieldId="2" dataDxfId="5"/>
    <tableColumn id="3" xr3:uid="{AEF64DC4-8C26-4EF0-A30B-FE48FAFF2AE8}" uniqueName="3" name="Brand Name" queryTableFieldId="3" dataDxfId="4"/>
    <tableColumn id="20" xr3:uid="{58441DA9-019E-4B5C-AFC1-3719E410ED02}" uniqueName="20" name="Product Brand" queryTableFieldId="20" dataDxfId="3">
      <calculatedColumnFormula>Dataset[[#This Row],[Product Name]]&amp;" "&amp;Dataset[[#This Row],[Brand Name]]</calculatedColumnFormula>
    </tableColumn>
    <tableColumn id="4" xr3:uid="{ECF21F5B-670B-4023-BF23-3CF54BAE4461}" uniqueName="4" name="Price ($)" queryTableFieldId="4" dataDxfId="2"/>
    <tableColumn id="5" xr3:uid="{1390EA0C-BEA4-4F5C-951F-8AF934DB22BA}" uniqueName="5" name="Quantity" queryTableFieldId="5"/>
    <tableColumn id="6" xr3:uid="{67C2AEFD-E2A5-42B6-8A5B-544C9E1D5C6F}" uniqueName="6" name="Category" queryTableFieldId="6" dataDxfId="1"/>
    <tableColumn id="7" xr3:uid="{280D5650-E47F-47EA-BC16-C646F549409F}" uniqueName="7" name="Column7" queryTableFieldId="7"/>
    <tableColumn id="8" xr3:uid="{7D6FABC5-FCDD-4CE6-AE48-91FD5DAA1EF5}" uniqueName="8" name="Column8" queryTableFieldId="8"/>
    <tableColumn id="9" xr3:uid="{BAEF6426-FCB7-496D-A6F1-E4501CB2E872}" uniqueName="9" name="Column9" queryTableFieldId="9"/>
    <tableColumn id="10" xr3:uid="{CD341268-DF92-4524-8031-92946DCBCB48}" uniqueName="10" name="Column10" queryTableFieldId="10"/>
    <tableColumn id="11" xr3:uid="{7224A345-EB2B-41F7-8EA3-CC8DE9E89F96}" uniqueName="11" name="Column11" queryTableFieldId="11"/>
    <tableColumn id="12" xr3:uid="{8F541E59-FA49-47A6-8D3B-2A389E50524A}" uniqueName="12" name="Column12" queryTableFieldId="12"/>
    <tableColumn id="13" xr3:uid="{1D425CF2-4D9D-41F5-AF7D-94EBFB7F1EE4}" uniqueName="13" name="Column13" queryTableFieldId="13"/>
    <tableColumn id="14" xr3:uid="{621A92A7-45BD-4B18-A48A-9FF1717AAB0E}" uniqueName="14" name="Column14" queryTableFieldId="14"/>
    <tableColumn id="15" xr3:uid="{7597860C-687A-4778-8755-E7666D67C875}" uniqueName="15" name="Column15" queryTableFieldId="15"/>
    <tableColumn id="16" xr3:uid="{53DFFD7C-F761-4CB6-837C-1734CC9C9686}" uniqueName="16" name="Column16" queryTableFieldId="1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BDCC62-062B-4F28-8D1D-293D93E3B841}">
  <dimension ref="A1:T32"/>
  <sheetViews>
    <sheetView tabSelected="1" topLeftCell="D1" zoomScale="91" zoomScaleNormal="91" workbookViewId="0">
      <selection activeCell="N22" sqref="N22"/>
    </sheetView>
  </sheetViews>
  <sheetFormatPr defaultRowHeight="14.4" x14ac:dyDescent="0.3"/>
  <cols>
    <col min="1" max="1" width="12.109375" bestFit="1" customWidth="1"/>
    <col min="2" max="2" width="18.33203125" bestFit="1" customWidth="1"/>
    <col min="3" max="3" width="20.33203125" style="2" bestFit="1" customWidth="1"/>
    <col min="4" max="4" width="14.77734375" bestFit="1" customWidth="1"/>
    <col min="5" max="5" width="15.44140625" bestFit="1" customWidth="1"/>
    <col min="6" max="6" width="13.6640625" bestFit="1" customWidth="1"/>
    <col min="7" max="7" width="21.44140625" bestFit="1" customWidth="1"/>
    <col min="8" max="8" width="10.109375" style="1" bestFit="1" customWidth="1"/>
    <col min="9" max="9" width="10.5546875" bestFit="1" customWidth="1"/>
    <col min="10" max="13" width="10.77734375" bestFit="1" customWidth="1"/>
    <col min="14" max="20" width="11.77734375" bestFit="1" customWidth="1"/>
  </cols>
  <sheetData>
    <row r="1" spans="1:20" x14ac:dyDescent="0.3">
      <c r="A1" t="s">
        <v>0</v>
      </c>
      <c r="B1" t="s">
        <v>98</v>
      </c>
      <c r="C1" s="2" t="s">
        <v>96</v>
      </c>
      <c r="D1" t="s">
        <v>97</v>
      </c>
      <c r="E1" t="s">
        <v>1</v>
      </c>
      <c r="F1" t="s">
        <v>2</v>
      </c>
      <c r="G1" t="s">
        <v>99</v>
      </c>
      <c r="H1" s="1" t="s">
        <v>3</v>
      </c>
      <c r="I1" t="s">
        <v>4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</row>
    <row r="2" spans="1:20" x14ac:dyDescent="0.3">
      <c r="A2" t="s">
        <v>16</v>
      </c>
      <c r="B2" t="str">
        <f>LEFT(Dataset[[#This Row],[Product ID]],6)&amp;"-2026"&amp; "-" &amp;RIGHT(Dataset[[#This Row],[Product ID]],2)</f>
        <v>28-JAN-2026-US</v>
      </c>
      <c r="C2" s="2" t="str">
        <f>LEFT(Dataset[[#This Row],[Product_Updated]],11)</f>
        <v>28-JAN-2026</v>
      </c>
      <c r="D2" t="str">
        <f>RIGHT(Dataset[[#This Row],[Product_Updated]],2)</f>
        <v>US</v>
      </c>
      <c r="E2" t="s">
        <v>45</v>
      </c>
      <c r="F2" t="s">
        <v>17</v>
      </c>
      <c r="G2" t="str">
        <f>Dataset[[#This Row],[Product Name]]&amp;" "&amp;Dataset[[#This Row],[Brand Name]]</f>
        <v>Laptop Dell</v>
      </c>
      <c r="H2" s="1">
        <v>1000</v>
      </c>
      <c r="I2">
        <v>30</v>
      </c>
      <c r="J2" t="s">
        <v>18</v>
      </c>
    </row>
    <row r="3" spans="1:20" x14ac:dyDescent="0.3">
      <c r="A3" t="s">
        <v>19</v>
      </c>
      <c r="B3" t="str">
        <f>LEFT(Dataset[[#This Row],[Product ID]],6)&amp;"-2026"&amp; "-" &amp;RIGHT(Dataset[[#This Row],[Product ID]],2)</f>
        <v>15-FEB-2026-US</v>
      </c>
      <c r="C3" s="2" t="str">
        <f>LEFT(Dataset[[#This Row],[Product_Updated]],11)</f>
        <v>15-FEB-2026</v>
      </c>
      <c r="D3" t="str">
        <f>RIGHT(Dataset[[#This Row],[Product_Updated]],2)</f>
        <v>US</v>
      </c>
      <c r="E3" t="s">
        <v>20</v>
      </c>
      <c r="F3" t="s">
        <v>21</v>
      </c>
      <c r="G3" t="str">
        <f>Dataset[[#This Row],[Product Name]]&amp;" "&amp;Dataset[[#This Row],[Brand Name]]</f>
        <v>Sneakers Nike</v>
      </c>
      <c r="H3" s="1">
        <v>80</v>
      </c>
      <c r="I3">
        <v>15</v>
      </c>
      <c r="J3" t="s">
        <v>22</v>
      </c>
    </row>
    <row r="4" spans="1:20" x14ac:dyDescent="0.3">
      <c r="A4" t="s">
        <v>23</v>
      </c>
      <c r="B4" t="str">
        <f>LEFT(Dataset[[#This Row],[Product ID]],6)&amp;"-2026"&amp; "-" &amp;RIGHT(Dataset[[#This Row],[Product ID]],2)</f>
        <v>03-MAR-2026-US</v>
      </c>
      <c r="C4" s="2" t="str">
        <f>LEFT(Dataset[[#This Row],[Product_Updated]],11)</f>
        <v>03-MAR-2026</v>
      </c>
      <c r="D4" t="str">
        <f>RIGHT(Dataset[[#This Row],[Product_Updated]],2)</f>
        <v>US</v>
      </c>
      <c r="E4" t="s">
        <v>24</v>
      </c>
      <c r="F4" t="s">
        <v>25</v>
      </c>
      <c r="G4" t="str">
        <f>Dataset[[#This Row],[Product Name]]&amp;" "&amp;Dataset[[#This Row],[Brand Name]]</f>
        <v>Coffee Maker Keurig</v>
      </c>
      <c r="H4" s="1">
        <v>130</v>
      </c>
      <c r="I4">
        <v>40</v>
      </c>
      <c r="J4" t="s">
        <v>26</v>
      </c>
    </row>
    <row r="5" spans="1:20" x14ac:dyDescent="0.3">
      <c r="A5" t="s">
        <v>27</v>
      </c>
      <c r="B5" t="str">
        <f>LEFT(Dataset[[#This Row],[Product ID]],6)&amp;"-2026"&amp; "-" &amp;RIGHT(Dataset[[#This Row],[Product ID]],2)</f>
        <v>11-APR-2026-US</v>
      </c>
      <c r="C5" s="2" t="str">
        <f>LEFT(Dataset[[#This Row],[Product_Updated]],11)</f>
        <v>11-APR-2026</v>
      </c>
      <c r="D5" t="str">
        <f>RIGHT(Dataset[[#This Row],[Product_Updated]],2)</f>
        <v>US</v>
      </c>
      <c r="E5" t="s">
        <v>76</v>
      </c>
      <c r="F5" t="s">
        <v>28</v>
      </c>
      <c r="G5" t="str">
        <f>Dataset[[#This Row],[Product Name]]&amp;" "&amp;Dataset[[#This Row],[Brand Name]]</f>
        <v>Smartphone Samsung</v>
      </c>
      <c r="H5" s="1">
        <v>900</v>
      </c>
      <c r="I5">
        <v>25</v>
      </c>
      <c r="J5" t="s">
        <v>18</v>
      </c>
    </row>
    <row r="6" spans="1:20" x14ac:dyDescent="0.3">
      <c r="A6" t="s">
        <v>29</v>
      </c>
      <c r="B6" t="str">
        <f>LEFT(Dataset[[#This Row],[Product ID]],6)&amp;"-2026"&amp; "-" &amp;RIGHT(Dataset[[#This Row],[Product ID]],2)</f>
        <v>22-MAY-2026-US</v>
      </c>
      <c r="C6" s="2" t="str">
        <f>LEFT(Dataset[[#This Row],[Product_Updated]],11)</f>
        <v>22-MAY-2026</v>
      </c>
      <c r="D6" t="str">
        <f>RIGHT(Dataset[[#This Row],[Product_Updated]],2)</f>
        <v>US</v>
      </c>
      <c r="E6" t="s">
        <v>30</v>
      </c>
      <c r="F6" t="s">
        <v>31</v>
      </c>
      <c r="G6" t="str">
        <f>Dataset[[#This Row],[Product Name]]&amp;" "&amp;Dataset[[#This Row],[Brand Name]]</f>
        <v>Backpack North Face</v>
      </c>
      <c r="H6" s="1">
        <v>70</v>
      </c>
      <c r="I6">
        <v>20</v>
      </c>
      <c r="J6" t="s">
        <v>22</v>
      </c>
    </row>
    <row r="7" spans="1:20" x14ac:dyDescent="0.3">
      <c r="A7" t="s">
        <v>32</v>
      </c>
      <c r="B7" t="str">
        <f>LEFT(Dataset[[#This Row],[Product ID]],6)&amp;"-2026"&amp; "-" &amp;RIGHT(Dataset[[#This Row],[Product ID]],2)</f>
        <v>19-JUL-2026-UK</v>
      </c>
      <c r="C7" s="2" t="str">
        <f>LEFT(Dataset[[#This Row],[Product_Updated]],11)</f>
        <v>19-JUL-2026</v>
      </c>
      <c r="D7" t="str">
        <f>RIGHT(Dataset[[#This Row],[Product_Updated]],2)</f>
        <v>UK</v>
      </c>
      <c r="E7" t="s">
        <v>94</v>
      </c>
      <c r="F7" t="s">
        <v>33</v>
      </c>
      <c r="G7" t="str">
        <f>Dataset[[#This Row],[Product Name]]&amp;" "&amp;Dataset[[#This Row],[Brand Name]]</f>
        <v>T-Shirt Adidas</v>
      </c>
      <c r="H7" s="1">
        <v>30</v>
      </c>
      <c r="I7">
        <v>5</v>
      </c>
      <c r="J7" t="s">
        <v>22</v>
      </c>
    </row>
    <row r="8" spans="1:20" x14ac:dyDescent="0.3">
      <c r="A8" t="s">
        <v>34</v>
      </c>
      <c r="B8" t="str">
        <f>LEFT(Dataset[[#This Row],[Product ID]],6)&amp;"-2026"&amp; "-" &amp;RIGHT(Dataset[[#This Row],[Product ID]],2)</f>
        <v>23-AUG-2026-UK</v>
      </c>
      <c r="C8" s="2" t="str">
        <f>LEFT(Dataset[[#This Row],[Product_Updated]],11)</f>
        <v>23-AUG-2026</v>
      </c>
      <c r="D8" t="str">
        <f>RIGHT(Dataset[[#This Row],[Product_Updated]],2)</f>
        <v>UK</v>
      </c>
      <c r="E8" t="s">
        <v>35</v>
      </c>
      <c r="F8" t="s">
        <v>36</v>
      </c>
      <c r="G8" t="str">
        <f>Dataset[[#This Row],[Product Name]]&amp;" "&amp;Dataset[[#This Row],[Brand Name]]</f>
        <v>Blender Ninja</v>
      </c>
      <c r="H8" s="1">
        <v>90</v>
      </c>
      <c r="I8">
        <v>35</v>
      </c>
      <c r="J8" t="s">
        <v>26</v>
      </c>
    </row>
    <row r="9" spans="1:20" x14ac:dyDescent="0.3">
      <c r="A9" t="s">
        <v>37</v>
      </c>
      <c r="B9" t="str">
        <f>LEFT(Dataset[[#This Row],[Product ID]],6)&amp;"-2026"&amp; "-" &amp;RIGHT(Dataset[[#This Row],[Product ID]],2)</f>
        <v>05-SEP-2026-UK</v>
      </c>
      <c r="C9" s="2" t="str">
        <f>LEFT(Dataset[[#This Row],[Product_Updated]],11)</f>
        <v>05-SEP-2026</v>
      </c>
      <c r="D9" t="str">
        <f>RIGHT(Dataset[[#This Row],[Product_Updated]],2)</f>
        <v>UK</v>
      </c>
      <c r="E9" t="s">
        <v>38</v>
      </c>
      <c r="F9" t="s">
        <v>39</v>
      </c>
      <c r="G9" t="str">
        <f>Dataset[[#This Row],[Product Name]]&amp;" "&amp;Dataset[[#This Row],[Brand Name]]</f>
        <v>Tablet Apple</v>
      </c>
      <c r="H9" s="1">
        <v>500</v>
      </c>
      <c r="I9">
        <v>50</v>
      </c>
      <c r="J9" t="s">
        <v>18</v>
      </c>
    </row>
    <row r="10" spans="1:20" x14ac:dyDescent="0.3">
      <c r="A10" t="s">
        <v>40</v>
      </c>
      <c r="B10" t="str">
        <f>LEFT(Dataset[[#This Row],[Product ID]],6)&amp;"-2026"&amp; "-" &amp;RIGHT(Dataset[[#This Row],[Product ID]],2)</f>
        <v>14-OCT-2026-UK</v>
      </c>
      <c r="C10" s="2" t="str">
        <f>LEFT(Dataset[[#This Row],[Product_Updated]],11)</f>
        <v>14-OCT-2026</v>
      </c>
      <c r="D10" t="str">
        <f>RIGHT(Dataset[[#This Row],[Product_Updated]],2)</f>
        <v>UK</v>
      </c>
      <c r="E10" t="s">
        <v>41</v>
      </c>
      <c r="F10" t="s">
        <v>42</v>
      </c>
      <c r="G10" t="str">
        <f>Dataset[[#This Row],[Product Name]]&amp;" "&amp;Dataset[[#This Row],[Brand Name]]</f>
        <v>Hiking Boots Timberland</v>
      </c>
      <c r="H10" s="1">
        <v>130</v>
      </c>
      <c r="I10">
        <v>10</v>
      </c>
      <c r="J10" t="s">
        <v>43</v>
      </c>
    </row>
    <row r="11" spans="1:20" x14ac:dyDescent="0.3">
      <c r="A11" t="s">
        <v>44</v>
      </c>
      <c r="B11" t="str">
        <f>LEFT(Dataset[[#This Row],[Product ID]],6)&amp;"-2026"&amp; "-" &amp;RIGHT(Dataset[[#This Row],[Product ID]],2)</f>
        <v>17-JUN-2026-IN</v>
      </c>
      <c r="C11" s="2" t="str">
        <f>LEFT(Dataset[[#This Row],[Product_Updated]],11)</f>
        <v>17-JUN-2026</v>
      </c>
      <c r="D11" t="str">
        <f>RIGHT(Dataset[[#This Row],[Product_Updated]],2)</f>
        <v>IN</v>
      </c>
      <c r="E11" t="s">
        <v>45</v>
      </c>
      <c r="F11" t="s">
        <v>46</v>
      </c>
      <c r="G11" t="str">
        <f>Dataset[[#This Row],[Product Name]]&amp;" "&amp;Dataset[[#This Row],[Brand Name]]</f>
        <v>Laptop HP</v>
      </c>
      <c r="H11" s="1">
        <v>950</v>
      </c>
      <c r="I11">
        <v>25</v>
      </c>
      <c r="J11" t="s">
        <v>18</v>
      </c>
    </row>
    <row r="12" spans="1:20" x14ac:dyDescent="0.3">
      <c r="A12" t="s">
        <v>47</v>
      </c>
      <c r="B12" t="str">
        <f>LEFT(Dataset[[#This Row],[Product ID]],6)&amp;"-2026"&amp; "-" &amp;RIGHT(Dataset[[#This Row],[Product ID]],2)</f>
        <v>25-NOV-2026-AU</v>
      </c>
      <c r="C12" s="2" t="str">
        <f>LEFT(Dataset[[#This Row],[Product_Updated]],11)</f>
        <v>25-NOV-2026</v>
      </c>
      <c r="D12" t="str">
        <f>RIGHT(Dataset[[#This Row],[Product_Updated]],2)</f>
        <v>AU</v>
      </c>
      <c r="E12" t="s">
        <v>20</v>
      </c>
      <c r="F12" t="s">
        <v>33</v>
      </c>
      <c r="G12" t="str">
        <f>Dataset[[#This Row],[Product Name]]&amp;" "&amp;Dataset[[#This Row],[Brand Name]]</f>
        <v>Sneakers Adidas</v>
      </c>
      <c r="H12" s="1">
        <v>90</v>
      </c>
      <c r="I12">
        <v>40</v>
      </c>
      <c r="J12" t="s">
        <v>22</v>
      </c>
    </row>
    <row r="13" spans="1:20" x14ac:dyDescent="0.3">
      <c r="A13" t="s">
        <v>48</v>
      </c>
      <c r="B13" t="str">
        <f>LEFT(Dataset[[#This Row],[Product ID]],6)&amp;"-2026"&amp; "-" &amp;RIGHT(Dataset[[#This Row],[Product ID]],2)</f>
        <v>08-DEC-2026-DE</v>
      </c>
      <c r="C13" s="2" t="str">
        <f>LEFT(Dataset[[#This Row],[Product_Updated]],11)</f>
        <v>08-DEC-2026</v>
      </c>
      <c r="D13" t="str">
        <f>RIGHT(Dataset[[#This Row],[Product_Updated]],2)</f>
        <v>DE</v>
      </c>
      <c r="E13" t="s">
        <v>24</v>
      </c>
      <c r="F13" t="s">
        <v>49</v>
      </c>
      <c r="G13" t="str">
        <f>Dataset[[#This Row],[Product Name]]&amp;" "&amp;Dataset[[#This Row],[Brand Name]]</f>
        <v>Coffee Maker Nespresso</v>
      </c>
      <c r="H13" s="1">
        <v>120</v>
      </c>
      <c r="I13">
        <v>35</v>
      </c>
      <c r="J13" t="s">
        <v>26</v>
      </c>
    </row>
    <row r="14" spans="1:20" x14ac:dyDescent="0.3">
      <c r="A14" t="s">
        <v>50</v>
      </c>
      <c r="B14" t="str">
        <f>LEFT(Dataset[[#This Row],[Product ID]],6)&amp;"-2026"&amp; "-" &amp;RIGHT(Dataset[[#This Row],[Product ID]],2)</f>
        <v>18-FEB-2026-CA</v>
      </c>
      <c r="C14" s="2" t="str">
        <f>LEFT(Dataset[[#This Row],[Product_Updated]],11)</f>
        <v>18-FEB-2026</v>
      </c>
      <c r="D14" t="str">
        <f>RIGHT(Dataset[[#This Row],[Product_Updated]],2)</f>
        <v>CA</v>
      </c>
      <c r="E14" t="s">
        <v>51</v>
      </c>
      <c r="F14" t="s">
        <v>52</v>
      </c>
      <c r="G14" t="str">
        <f>Dataset[[#This Row],[Product Name]]&amp;" "&amp;Dataset[[#This Row],[Brand Name]]</f>
        <v>Smartwatch Fitbit</v>
      </c>
      <c r="H14" s="1">
        <v>150</v>
      </c>
      <c r="I14">
        <v>15</v>
      </c>
      <c r="J14" t="s">
        <v>18</v>
      </c>
    </row>
    <row r="15" spans="1:20" x14ac:dyDescent="0.3">
      <c r="A15" t="s">
        <v>53</v>
      </c>
      <c r="B15" t="str">
        <f>LEFT(Dataset[[#This Row],[Product ID]],6)&amp;"-2026"&amp; "-" &amp;RIGHT(Dataset[[#This Row],[Product ID]],2)</f>
        <v>16-APR-2026-ES</v>
      </c>
      <c r="C15" s="2" t="str">
        <f>LEFT(Dataset[[#This Row],[Product_Updated]],11)</f>
        <v>16-APR-2026</v>
      </c>
      <c r="D15" t="str">
        <f>RIGHT(Dataset[[#This Row],[Product_Updated]],2)</f>
        <v>ES</v>
      </c>
      <c r="E15" t="s">
        <v>95</v>
      </c>
      <c r="F15" t="s">
        <v>54</v>
      </c>
      <c r="G15" t="str">
        <f>Dataset[[#This Row],[Product Name]]&amp;" "&amp;Dataset[[#This Row],[Brand Name]]</f>
        <v>Headphones Bose</v>
      </c>
      <c r="H15" s="1">
        <v>250</v>
      </c>
      <c r="I15">
        <v>20</v>
      </c>
      <c r="J15" t="s">
        <v>18</v>
      </c>
    </row>
    <row r="16" spans="1:20" x14ac:dyDescent="0.3">
      <c r="A16" t="s">
        <v>55</v>
      </c>
      <c r="B16" t="str">
        <f>LEFT(Dataset[[#This Row],[Product ID]],6)&amp;"-2026"&amp; "-" &amp;RIGHT(Dataset[[#This Row],[Product ID]],2)</f>
        <v>21-AUG-2026-CA</v>
      </c>
      <c r="C16" s="2" t="str">
        <f>LEFT(Dataset[[#This Row],[Product_Updated]],11)</f>
        <v>21-AUG-2026</v>
      </c>
      <c r="D16" t="str">
        <f>RIGHT(Dataset[[#This Row],[Product_Updated]],2)</f>
        <v>CA</v>
      </c>
      <c r="E16" t="s">
        <v>56</v>
      </c>
      <c r="F16" t="s">
        <v>57</v>
      </c>
      <c r="G16" t="str">
        <f>Dataset[[#This Row],[Product Name]]&amp;" "&amp;Dataset[[#This Row],[Brand Name]]</f>
        <v>Laptop Bag Samsonite</v>
      </c>
      <c r="H16" s="1">
        <v>50</v>
      </c>
      <c r="I16">
        <v>35</v>
      </c>
      <c r="J16" t="s">
        <v>58</v>
      </c>
    </row>
    <row r="17" spans="1:10" x14ac:dyDescent="0.3">
      <c r="A17" t="s">
        <v>59</v>
      </c>
      <c r="B17" t="str">
        <f>LEFT(Dataset[[#This Row],[Product ID]],6)&amp;"-2026"&amp; "-" &amp;RIGHT(Dataset[[#This Row],[Product ID]],2)</f>
        <v>20-AUG-2026-CN</v>
      </c>
      <c r="C17" s="2" t="str">
        <f>LEFT(Dataset[[#This Row],[Product_Updated]],11)</f>
        <v>20-AUG-2026</v>
      </c>
      <c r="D17" t="str">
        <f>RIGHT(Dataset[[#This Row],[Product_Updated]],2)</f>
        <v>CN</v>
      </c>
      <c r="E17" t="s">
        <v>51</v>
      </c>
      <c r="F17" t="s">
        <v>60</v>
      </c>
      <c r="G17" t="str">
        <f>Dataset[[#This Row],[Product Name]]&amp;" "&amp;Dataset[[#This Row],[Brand Name]]</f>
        <v>Smartwatch Huawei</v>
      </c>
      <c r="H17" s="1">
        <v>160</v>
      </c>
      <c r="I17">
        <v>15</v>
      </c>
      <c r="J17" t="s">
        <v>18</v>
      </c>
    </row>
    <row r="18" spans="1:10" x14ac:dyDescent="0.3">
      <c r="A18" t="s">
        <v>61</v>
      </c>
      <c r="B18" t="str">
        <f>LEFT(Dataset[[#This Row],[Product ID]],6)&amp;"-2026"&amp; "-" &amp;RIGHT(Dataset[[#This Row],[Product ID]],2)</f>
        <v>27-JAN-2026-IT</v>
      </c>
      <c r="C18" s="2" t="str">
        <f>LEFT(Dataset[[#This Row],[Product_Updated]],11)</f>
        <v>27-JAN-2026</v>
      </c>
      <c r="D18" t="str">
        <f>RIGHT(Dataset[[#This Row],[Product_Updated]],2)</f>
        <v>IT</v>
      </c>
      <c r="E18" t="s">
        <v>45</v>
      </c>
      <c r="F18" t="s">
        <v>62</v>
      </c>
      <c r="G18" t="str">
        <f>Dataset[[#This Row],[Product Name]]&amp;" "&amp;Dataset[[#This Row],[Brand Name]]</f>
        <v>Laptop Asus</v>
      </c>
      <c r="H18" s="1">
        <v>980</v>
      </c>
      <c r="I18">
        <v>10</v>
      </c>
      <c r="J18" t="s">
        <v>18</v>
      </c>
    </row>
    <row r="19" spans="1:10" x14ac:dyDescent="0.3">
      <c r="A19" t="s">
        <v>63</v>
      </c>
      <c r="B19" t="str">
        <f>LEFT(Dataset[[#This Row],[Product ID]],6)&amp;"-2026"&amp; "-" &amp;RIGHT(Dataset[[#This Row],[Product ID]],2)</f>
        <v>01-MAR-2026-UK</v>
      </c>
      <c r="C19" s="2" t="str">
        <f>LEFT(Dataset[[#This Row],[Product_Updated]],11)</f>
        <v>01-MAR-2026</v>
      </c>
      <c r="D19" t="str">
        <f>RIGHT(Dataset[[#This Row],[Product_Updated]],2)</f>
        <v>UK</v>
      </c>
      <c r="E19" t="s">
        <v>64</v>
      </c>
      <c r="F19" t="s">
        <v>65</v>
      </c>
      <c r="G19" t="str">
        <f>Dataset[[#This Row],[Product Name]]&amp;" "&amp;Dataset[[#This Row],[Brand Name]]</f>
        <v>Sunglasses Oakley</v>
      </c>
      <c r="H19" s="1">
        <v>150</v>
      </c>
      <c r="I19">
        <v>15</v>
      </c>
      <c r="J19" t="s">
        <v>22</v>
      </c>
    </row>
    <row r="20" spans="1:10" x14ac:dyDescent="0.3">
      <c r="A20" t="s">
        <v>66</v>
      </c>
      <c r="B20" t="str">
        <f>LEFT(Dataset[[#This Row],[Product ID]],6)&amp;"-2026"&amp; "-" &amp;RIGHT(Dataset[[#This Row],[Product ID]],2)</f>
        <v>14-MAY-2026-RU</v>
      </c>
      <c r="C20" s="2" t="str">
        <f>LEFT(Dataset[[#This Row],[Product_Updated]],11)</f>
        <v>14-MAY-2026</v>
      </c>
      <c r="D20" t="str">
        <f>RIGHT(Dataset[[#This Row],[Product_Updated]],2)</f>
        <v>RU</v>
      </c>
      <c r="E20" t="s">
        <v>67</v>
      </c>
      <c r="F20" t="s">
        <v>68</v>
      </c>
      <c r="G20" t="str">
        <f>Dataset[[#This Row],[Product Name]]&amp;" "&amp;Dataset[[#This Row],[Brand Name]]</f>
        <v>Camera Nikon</v>
      </c>
      <c r="H20" s="1">
        <v>700</v>
      </c>
      <c r="I20">
        <v>50</v>
      </c>
      <c r="J20" t="s">
        <v>18</v>
      </c>
    </row>
    <row r="21" spans="1:10" x14ac:dyDescent="0.3">
      <c r="A21" t="s">
        <v>69</v>
      </c>
      <c r="B21" t="str">
        <f>LEFT(Dataset[[#This Row],[Product ID]],6)&amp;"-2026"&amp; "-" &amp;RIGHT(Dataset[[#This Row],[Product ID]],2)</f>
        <v>09-JAN-2026-CA</v>
      </c>
      <c r="C21" s="2" t="str">
        <f>LEFT(Dataset[[#This Row],[Product_Updated]],11)</f>
        <v>09-JAN-2026</v>
      </c>
      <c r="D21" t="str">
        <f>RIGHT(Dataset[[#This Row],[Product_Updated]],2)</f>
        <v>CA</v>
      </c>
      <c r="E21" t="s">
        <v>70</v>
      </c>
      <c r="F21" t="s">
        <v>71</v>
      </c>
      <c r="G21" t="str">
        <f>Dataset[[#This Row],[Product Name]]&amp;" "&amp;Dataset[[#This Row],[Brand Name]]</f>
        <v>Microwave Panasonic</v>
      </c>
      <c r="H21" s="1">
        <v>80</v>
      </c>
      <c r="I21">
        <v>20</v>
      </c>
      <c r="J21" t="s">
        <v>26</v>
      </c>
    </row>
    <row r="22" spans="1:10" x14ac:dyDescent="0.3">
      <c r="A22" t="s">
        <v>72</v>
      </c>
      <c r="B22" t="str">
        <f>LEFT(Dataset[[#This Row],[Product ID]],6)&amp;"-2026"&amp; "-" &amp;RIGHT(Dataset[[#This Row],[Product ID]],2)</f>
        <v>19-JUL-2026-BR</v>
      </c>
      <c r="C22" s="2" t="str">
        <f>LEFT(Dataset[[#This Row],[Product_Updated]],11)</f>
        <v>19-JUL-2026</v>
      </c>
      <c r="D22" t="str">
        <f>RIGHT(Dataset[[#This Row],[Product_Updated]],2)</f>
        <v>BR</v>
      </c>
      <c r="E22" t="s">
        <v>73</v>
      </c>
      <c r="F22" t="s">
        <v>74</v>
      </c>
      <c r="G22" t="str">
        <f>Dataset[[#This Row],[Product Name]]&amp;" "&amp;Dataset[[#This Row],[Brand Name]]</f>
        <v>Fitness Tracker Xiaomi</v>
      </c>
      <c r="H22" s="1">
        <v>150</v>
      </c>
      <c r="I22">
        <v>30</v>
      </c>
      <c r="J22" t="s">
        <v>18</v>
      </c>
    </row>
    <row r="23" spans="1:10" x14ac:dyDescent="0.3">
      <c r="A23" t="s">
        <v>55</v>
      </c>
      <c r="B23" t="str">
        <f>LEFT(Dataset[[#This Row],[Product ID]],6)&amp;"-2026"&amp; "-" &amp;RIGHT(Dataset[[#This Row],[Product ID]],2)</f>
        <v>21-AUG-2026-CA</v>
      </c>
      <c r="C23" s="2" t="str">
        <f>LEFT(Dataset[[#This Row],[Product_Updated]],11)</f>
        <v>21-AUG-2026</v>
      </c>
      <c r="D23" t="str">
        <f>RIGHT(Dataset[[#This Row],[Product_Updated]],2)</f>
        <v>CA</v>
      </c>
      <c r="E23" t="s">
        <v>56</v>
      </c>
      <c r="F23" t="s">
        <v>57</v>
      </c>
      <c r="G23" t="str">
        <f>Dataset[[#This Row],[Product Name]]&amp;" "&amp;Dataset[[#This Row],[Brand Name]]</f>
        <v>Laptop Bag Samsonite</v>
      </c>
      <c r="H23" s="1">
        <v>50</v>
      </c>
      <c r="I23">
        <v>35</v>
      </c>
      <c r="J23" t="s">
        <v>58</v>
      </c>
    </row>
    <row r="24" spans="1:10" x14ac:dyDescent="0.3">
      <c r="A24" t="s">
        <v>75</v>
      </c>
      <c r="B24" t="str">
        <f>LEFT(Dataset[[#This Row],[Product ID]],6)&amp;"-2026"&amp; "-" &amp;RIGHT(Dataset[[#This Row],[Product ID]],2)</f>
        <v>29-SEP-2026-CA</v>
      </c>
      <c r="C24" s="2" t="str">
        <f>LEFT(Dataset[[#This Row],[Product_Updated]],11)</f>
        <v>29-SEP-2026</v>
      </c>
      <c r="D24" t="str">
        <f>RIGHT(Dataset[[#This Row],[Product_Updated]],2)</f>
        <v>CA</v>
      </c>
      <c r="E24" t="s">
        <v>76</v>
      </c>
      <c r="F24" t="s">
        <v>77</v>
      </c>
      <c r="G24" t="str">
        <f>Dataset[[#This Row],[Product Name]]&amp;" "&amp;Dataset[[#This Row],[Brand Name]]</f>
        <v>Smartphone Google</v>
      </c>
      <c r="H24" s="1">
        <v>800</v>
      </c>
      <c r="I24">
        <v>45</v>
      </c>
      <c r="J24" t="s">
        <v>18</v>
      </c>
    </row>
    <row r="25" spans="1:10" x14ac:dyDescent="0.3">
      <c r="A25" t="s">
        <v>78</v>
      </c>
      <c r="B25" t="str">
        <f>LEFT(Dataset[[#This Row],[Product ID]],6)&amp;"-2026"&amp; "-" &amp;RIGHT(Dataset[[#This Row],[Product ID]],2)</f>
        <v>11-JUL-2026-CA</v>
      </c>
      <c r="C25" s="2" t="str">
        <f>LEFT(Dataset[[#This Row],[Product_Updated]],11)</f>
        <v>11-JUL-2026</v>
      </c>
      <c r="D25" t="str">
        <f>RIGHT(Dataset[[#This Row],[Product_Updated]],2)</f>
        <v>CA</v>
      </c>
      <c r="E25" t="s">
        <v>35</v>
      </c>
      <c r="F25" t="s">
        <v>79</v>
      </c>
      <c r="G25" t="str">
        <f>Dataset[[#This Row],[Product Name]]&amp;" "&amp;Dataset[[#This Row],[Brand Name]]</f>
        <v>Blender Vitamix</v>
      </c>
      <c r="H25" s="1">
        <v>400</v>
      </c>
      <c r="I25">
        <v>40</v>
      </c>
      <c r="J25" t="s">
        <v>26</v>
      </c>
    </row>
    <row r="26" spans="1:10" x14ac:dyDescent="0.3">
      <c r="A26" t="s">
        <v>53</v>
      </c>
      <c r="B26" t="str">
        <f>LEFT(Dataset[[#This Row],[Product ID]],6)&amp;"-2026"&amp; "-" &amp;RIGHT(Dataset[[#This Row],[Product ID]],2)</f>
        <v>16-APR-2026-ES</v>
      </c>
      <c r="C26" s="2" t="str">
        <f>LEFT(Dataset[[#This Row],[Product_Updated]],11)</f>
        <v>16-APR-2026</v>
      </c>
      <c r="D26" t="str">
        <f>RIGHT(Dataset[[#This Row],[Product_Updated]],2)</f>
        <v>ES</v>
      </c>
      <c r="E26" t="s">
        <v>95</v>
      </c>
      <c r="F26" t="s">
        <v>54</v>
      </c>
      <c r="G26" t="str">
        <f>Dataset[[#This Row],[Product Name]]&amp;" "&amp;Dataset[[#This Row],[Brand Name]]</f>
        <v>Headphones Bose</v>
      </c>
      <c r="H26" s="1">
        <v>250</v>
      </c>
      <c r="I26">
        <v>20</v>
      </c>
      <c r="J26" t="s">
        <v>18</v>
      </c>
    </row>
    <row r="27" spans="1:10" x14ac:dyDescent="0.3">
      <c r="A27" t="s">
        <v>80</v>
      </c>
      <c r="B27" t="str">
        <f>LEFT(Dataset[[#This Row],[Product ID]],6)&amp;"-2026"&amp; "-" &amp;RIGHT(Dataset[[#This Row],[Product ID]],2)</f>
        <v>07-MAR-2026-CA</v>
      </c>
      <c r="C27" s="2" t="str">
        <f>LEFT(Dataset[[#This Row],[Product_Updated]],11)</f>
        <v>07-MAR-2026</v>
      </c>
      <c r="D27" t="str">
        <f>RIGHT(Dataset[[#This Row],[Product_Updated]],2)</f>
        <v>CA</v>
      </c>
      <c r="E27" t="s">
        <v>81</v>
      </c>
      <c r="F27" t="s">
        <v>82</v>
      </c>
      <c r="G27" t="str">
        <f>Dataset[[#This Row],[Product Name]]&amp;" "&amp;Dataset[[#This Row],[Brand Name]]</f>
        <v>Dress Zara</v>
      </c>
      <c r="H27" s="1">
        <v>60</v>
      </c>
      <c r="I27">
        <v>30</v>
      </c>
      <c r="J27" t="s">
        <v>22</v>
      </c>
    </row>
    <row r="28" spans="1:10" x14ac:dyDescent="0.3">
      <c r="A28" t="s">
        <v>83</v>
      </c>
      <c r="B28" t="str">
        <f>LEFT(Dataset[[#This Row],[Product ID]],6)&amp;"-2026"&amp; "-" &amp;RIGHT(Dataset[[#This Row],[Product ID]],2)</f>
        <v>13-APR-2026-CA</v>
      </c>
      <c r="C28" s="2" t="str">
        <f>LEFT(Dataset[[#This Row],[Product_Updated]],11)</f>
        <v>13-APR-2026</v>
      </c>
      <c r="D28" t="str">
        <f>RIGHT(Dataset[[#This Row],[Product_Updated]],2)</f>
        <v>CA</v>
      </c>
      <c r="E28" t="s">
        <v>84</v>
      </c>
      <c r="F28" t="s">
        <v>85</v>
      </c>
      <c r="G28" t="str">
        <f>Dataset[[#This Row],[Product Name]]&amp;" "&amp;Dataset[[#This Row],[Brand Name]]</f>
        <v>Toaster Hamilton</v>
      </c>
      <c r="H28" s="1">
        <v>40</v>
      </c>
      <c r="I28">
        <v>10</v>
      </c>
      <c r="J28" t="s">
        <v>26</v>
      </c>
    </row>
    <row r="29" spans="1:10" x14ac:dyDescent="0.3">
      <c r="A29" t="s">
        <v>86</v>
      </c>
      <c r="B29" t="str">
        <f>LEFT(Dataset[[#This Row],[Product ID]],6)&amp;"-2026"&amp; "-" &amp;RIGHT(Dataset[[#This Row],[Product ID]],2)</f>
        <v>24-MAY-2026-CA</v>
      </c>
      <c r="C29" s="2" t="str">
        <f>LEFT(Dataset[[#This Row],[Product_Updated]],11)</f>
        <v>24-MAY-2026</v>
      </c>
      <c r="D29" t="str">
        <f>RIGHT(Dataset[[#This Row],[Product_Updated]],2)</f>
        <v>CA</v>
      </c>
      <c r="E29" t="s">
        <v>73</v>
      </c>
      <c r="F29" t="s">
        <v>87</v>
      </c>
      <c r="G29" t="str">
        <f>Dataset[[#This Row],[Product Name]]&amp;" "&amp;Dataset[[#This Row],[Brand Name]]</f>
        <v>Fitness Tracker Garmin</v>
      </c>
      <c r="H29" s="1">
        <v>130</v>
      </c>
      <c r="I29">
        <v>5</v>
      </c>
      <c r="J29" t="s">
        <v>18</v>
      </c>
    </row>
    <row r="30" spans="1:10" x14ac:dyDescent="0.3">
      <c r="A30" t="s">
        <v>88</v>
      </c>
      <c r="B30" t="str">
        <f>LEFT(Dataset[[#This Row],[Product ID]],6)&amp;"-2026"&amp; "-" &amp;RIGHT(Dataset[[#This Row],[Product ID]],2)</f>
        <v>02-DEC-2026-CA</v>
      </c>
      <c r="C30" s="2" t="str">
        <f>LEFT(Dataset[[#This Row],[Product_Updated]],11)</f>
        <v>02-DEC-2026</v>
      </c>
      <c r="D30" t="str">
        <f>RIGHT(Dataset[[#This Row],[Product_Updated]],2)</f>
        <v>CA</v>
      </c>
      <c r="E30" t="s">
        <v>89</v>
      </c>
      <c r="F30" t="s">
        <v>90</v>
      </c>
      <c r="G30" t="str">
        <f>Dataset[[#This Row],[Product Name]]&amp;" "&amp;Dataset[[#This Row],[Brand Name]]</f>
        <v>Jeans Levi's</v>
      </c>
      <c r="H30" s="1">
        <v>50</v>
      </c>
      <c r="I30">
        <v>50</v>
      </c>
      <c r="J30" t="s">
        <v>22</v>
      </c>
    </row>
    <row r="31" spans="1:10" x14ac:dyDescent="0.3">
      <c r="A31" t="s">
        <v>44</v>
      </c>
      <c r="B31" t="str">
        <f>LEFT(Dataset[[#This Row],[Product ID]],6)&amp;"-2026"&amp; "-" &amp;RIGHT(Dataset[[#This Row],[Product ID]],2)</f>
        <v>17-JUN-2026-IN</v>
      </c>
      <c r="C31" s="2" t="str">
        <f>LEFT(Dataset[[#This Row],[Product_Updated]],11)</f>
        <v>17-JUN-2026</v>
      </c>
      <c r="D31" t="str">
        <f>RIGHT(Dataset[[#This Row],[Product_Updated]],2)</f>
        <v>IN</v>
      </c>
      <c r="E31" t="s">
        <v>45</v>
      </c>
      <c r="F31" t="s">
        <v>46</v>
      </c>
      <c r="G31" t="str">
        <f>Dataset[[#This Row],[Product Name]]&amp;" "&amp;Dataset[[#This Row],[Brand Name]]</f>
        <v>Laptop HP</v>
      </c>
      <c r="H31" s="1">
        <v>950</v>
      </c>
      <c r="I31">
        <v>25</v>
      </c>
      <c r="J31" t="s">
        <v>18</v>
      </c>
    </row>
    <row r="32" spans="1:10" x14ac:dyDescent="0.3">
      <c r="A32" t="s">
        <v>91</v>
      </c>
      <c r="B32" t="str">
        <f>LEFT(Dataset[[#This Row],[Product ID]],6)&amp;"-2026"&amp; "-" &amp;RIGHT(Dataset[[#This Row],[Product ID]],2)</f>
        <v>09-JUL-2026-FR</v>
      </c>
      <c r="C32" s="2" t="str">
        <f>LEFT(Dataset[[#This Row],[Product_Updated]],11)</f>
        <v>09-JUL-2026</v>
      </c>
      <c r="D32" t="str">
        <f>RIGHT(Dataset[[#This Row],[Product_Updated]],2)</f>
        <v>FR</v>
      </c>
      <c r="E32" t="s">
        <v>92</v>
      </c>
      <c r="F32" t="s">
        <v>93</v>
      </c>
      <c r="G32" t="str">
        <f>Dataset[[#This Row],[Product Name]]&amp;" "&amp;Dataset[[#This Row],[Brand Name]]</f>
        <v>Watch Casio</v>
      </c>
      <c r="H32" s="1">
        <v>100</v>
      </c>
      <c r="I32">
        <v>20</v>
      </c>
      <c r="J32" t="s">
        <v>58</v>
      </c>
    </row>
  </sheetData>
  <phoneticPr fontId="1" type="noConversion"/>
  <conditionalFormatting sqref="H1:H1048576">
    <cfRule type="colorScale" priority="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J1:J1048576">
    <cfRule type="containsText" dxfId="0" priority="1" operator="containsText" text="Electronics">
      <formula>NOT(ISERROR(SEARCH("Electronics",J1)))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8815DA-C683-4C87-BE3D-A65A25D703D2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456EFA0-A3B6-4DE2-AB5E-3DD3F7EA56F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Dataset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Alfiya Ismail</dc:creator>
  <cp:lastModifiedBy>Alfiya Ismail</cp:lastModifiedBy>
  <dcterms:created xsi:type="dcterms:W3CDTF">2026-10-02T09:28:50Z</dcterms:created>
  <dcterms:modified xsi:type="dcterms:W3CDTF">2026-10-06T08:20:41Z</dcterms:modified>
</cp:coreProperties>
</file>